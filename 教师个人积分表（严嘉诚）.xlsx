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0490" windowHeight="7695"/>
  </bookViews>
  <sheets>
    <sheet name="Sheet1" sheetId="1" r:id="rId1"/>
    <sheet name="Sheet2" sheetId="2" r:id="rId2"/>
    <sheet name="Sheet3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" i="1"/>
  <c r="T9"/>
  <c r="S9"/>
  <c r="H9"/>
  <c r="W8"/>
  <c r="T8"/>
  <c r="S8"/>
  <c r="H8"/>
  <c r="W7"/>
  <c r="T7"/>
  <c r="S7"/>
  <c r="H7"/>
  <c r="W6"/>
  <c r="T6"/>
  <c r="S6"/>
  <c r="H6"/>
  <c r="W5"/>
  <c r="T5"/>
  <c r="S5"/>
  <c r="H5"/>
  <c r="W4"/>
  <c r="T4"/>
  <c r="S4"/>
  <c r="O4"/>
  <c r="M4"/>
  <c r="H4"/>
  <c r="W3"/>
  <c r="S3"/>
  <c r="T3" s="1"/>
  <c r="T10" s="1"/>
  <c r="O3"/>
  <c r="M3"/>
  <c r="H3"/>
</calcChain>
</file>

<file path=xl/sharedStrings.xml><?xml version="1.0" encoding="utf-8"?>
<sst xmlns="http://schemas.openxmlformats.org/spreadsheetml/2006/main" count="40" uniqueCount="35">
  <si>
    <t>月份</t>
  </si>
  <si>
    <t>姓名</t>
  </si>
  <si>
    <t>校内课（1/小时，助教0.2/小时）</t>
  </si>
  <si>
    <t>零售课（0.3人/小时，一对一3倍课时人数为3，一对一1倍课时按0.5/h计分）</t>
  </si>
  <si>
    <t>试听（0.6人/次）</t>
  </si>
  <si>
    <t>总积分</t>
  </si>
  <si>
    <t>非教工作（1分/小时）</t>
  </si>
  <si>
    <t>非教合计</t>
  </si>
  <si>
    <t>学校</t>
  </si>
  <si>
    <t>单次课时</t>
  </si>
  <si>
    <t>月次数</t>
  </si>
  <si>
    <t>合计课时</t>
  </si>
  <si>
    <t>计分/每小时</t>
  </si>
  <si>
    <t>合计计分</t>
  </si>
  <si>
    <t>班次</t>
  </si>
  <si>
    <t>上课人数</t>
  </si>
  <si>
    <t>小时</t>
  </si>
  <si>
    <t>计分/人/小时</t>
  </si>
  <si>
    <t>课程</t>
  </si>
  <si>
    <t>试听人次</t>
  </si>
  <si>
    <t>内容</t>
  </si>
  <si>
    <t>计分</t>
  </si>
  <si>
    <t>5月</t>
  </si>
  <si>
    <t>严嘉诚</t>
  </si>
  <si>
    <t>电子科技大学成都学院</t>
  </si>
  <si>
    <t>周六2点python-3人班</t>
  </si>
  <si>
    <t>c++</t>
  </si>
  <si>
    <t>科中-天骄初二常规课代何彬</t>
  </si>
  <si>
    <t>周六4点python-3人班</t>
  </si>
  <si>
    <t>周六2点python-2人班</t>
  </si>
  <si>
    <t>周六2点python-4人班</t>
  </si>
  <si>
    <t>周六4点python-2人班</t>
  </si>
  <si>
    <t>代张欢周日9：00-12：00</t>
  </si>
  <si>
    <t>代吴泽东周日9：30-11：30</t>
  </si>
  <si>
    <t>所有“合计”单元格，计算公式已给，新增行直接下拉即可</t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</si>
</sst>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2"/>
      <color rgb="FFFF0000"/>
      <name val="微软雅黑"/>
      <charset val="134"/>
    </font>
    <font>
      <b/>
      <sz val="10"/>
      <color rgb="FF00B050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vertical="center"/>
    </xf>
    <xf numFmtId="0" fontId="5" fillId="0" borderId="6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7" fillId="0" borderId="6" xfId="0" applyFont="1" applyFill="1" applyBorder="1" applyAlignment="1" applyProtection="1">
      <alignment horizontal="center" vertical="center"/>
      <protection locked="0"/>
    </xf>
    <xf numFmtId="0" fontId="0" fillId="0" borderId="6" xfId="0" applyBorder="1">
      <alignment vertical="center"/>
    </xf>
    <xf numFmtId="0" fontId="8" fillId="0" borderId="0" xfId="0" applyFo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"/>
  <sheetViews>
    <sheetView tabSelected="1" topLeftCell="G1" workbookViewId="0">
      <selection activeCell="N13" sqref="N13"/>
    </sheetView>
  </sheetViews>
  <sheetFormatPr defaultColWidth="9" defaultRowHeight="13.5"/>
  <cols>
    <col min="3" max="3" width="21.125" customWidth="1"/>
    <col min="4" max="4" width="7.625" customWidth="1"/>
    <col min="5" max="5" width="5.875" customWidth="1"/>
    <col min="7" max="7" width="10.875" customWidth="1"/>
    <col min="9" max="9" width="24.625" customWidth="1"/>
    <col min="10" max="10" width="8.625" customWidth="1"/>
    <col min="11" max="11" width="5.75" customWidth="1"/>
    <col min="12" max="12" width="6.5" customWidth="1"/>
    <col min="13" max="13" width="11.875" customWidth="1"/>
    <col min="14" max="14" width="11.75" customWidth="1"/>
    <col min="15" max="15" width="7.25" customWidth="1"/>
    <col min="16" max="16" width="12.5" customWidth="1"/>
    <col min="17" max="17" width="13.875" customWidth="1"/>
    <col min="18" max="18" width="11.875" customWidth="1"/>
    <col min="20" max="20" width="18" customWidth="1"/>
    <col min="21" max="21" width="53.375" customWidth="1"/>
  </cols>
  <sheetData>
    <row r="1" spans="1:23" ht="18">
      <c r="A1" s="22" t="s">
        <v>0</v>
      </c>
      <c r="B1" s="17" t="s">
        <v>1</v>
      </c>
      <c r="C1" s="17" t="s">
        <v>2</v>
      </c>
      <c r="D1" s="17"/>
      <c r="E1" s="17"/>
      <c r="F1" s="17"/>
      <c r="G1" s="17"/>
      <c r="H1" s="17"/>
      <c r="I1" s="17" t="s">
        <v>3</v>
      </c>
      <c r="J1" s="17"/>
      <c r="K1" s="17"/>
      <c r="L1" s="17"/>
      <c r="M1" s="17"/>
      <c r="N1" s="17"/>
      <c r="O1" s="17"/>
      <c r="P1" s="18" t="s">
        <v>4</v>
      </c>
      <c r="Q1" s="19"/>
      <c r="R1" s="19"/>
      <c r="S1" s="20"/>
      <c r="T1" s="27" t="s">
        <v>5</v>
      </c>
      <c r="U1" s="21" t="s">
        <v>6</v>
      </c>
      <c r="V1" s="21"/>
      <c r="W1" s="28" t="s">
        <v>7</v>
      </c>
    </row>
    <row r="2" spans="1:23" ht="16.5">
      <c r="A2" s="23"/>
      <c r="B2" s="17"/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2" t="s">
        <v>13</v>
      </c>
      <c r="I2" s="1" t="s">
        <v>14</v>
      </c>
      <c r="J2" s="1" t="s">
        <v>15</v>
      </c>
      <c r="K2" s="1" t="s">
        <v>16</v>
      </c>
      <c r="L2" s="1" t="s">
        <v>10</v>
      </c>
      <c r="M2" s="1" t="s">
        <v>11</v>
      </c>
      <c r="N2" s="1" t="s">
        <v>17</v>
      </c>
      <c r="O2" s="2" t="s">
        <v>13</v>
      </c>
      <c r="P2" s="1" t="s">
        <v>18</v>
      </c>
      <c r="Q2" s="1" t="s">
        <v>19</v>
      </c>
      <c r="R2" s="1" t="s">
        <v>17</v>
      </c>
      <c r="S2" s="2" t="s">
        <v>13</v>
      </c>
      <c r="T2" s="27"/>
      <c r="U2" s="3" t="s">
        <v>20</v>
      </c>
      <c r="V2" s="3" t="s">
        <v>21</v>
      </c>
      <c r="W2" s="28"/>
    </row>
    <row r="3" spans="1:23" ht="16.5">
      <c r="A3" s="24" t="s">
        <v>22</v>
      </c>
      <c r="B3" s="24" t="s">
        <v>23</v>
      </c>
      <c r="C3" s="5" t="s">
        <v>24</v>
      </c>
      <c r="D3" s="5">
        <v>1.5</v>
      </c>
      <c r="E3" s="5">
        <v>7</v>
      </c>
      <c r="F3" s="5">
        <v>10.5</v>
      </c>
      <c r="G3" s="5">
        <v>1</v>
      </c>
      <c r="H3" s="6">
        <f>G3*F3</f>
        <v>10.5</v>
      </c>
      <c r="I3" s="7" t="s">
        <v>25</v>
      </c>
      <c r="J3" s="8">
        <v>3</v>
      </c>
      <c r="K3" s="5">
        <v>2</v>
      </c>
      <c r="L3" s="5">
        <v>1</v>
      </c>
      <c r="M3" s="5">
        <f>L3*K3*J3</f>
        <v>6</v>
      </c>
      <c r="N3" s="5">
        <v>0.3</v>
      </c>
      <c r="O3" s="5">
        <f>N3*M3</f>
        <v>1.8</v>
      </c>
      <c r="P3" s="5" t="s">
        <v>26</v>
      </c>
      <c r="Q3" s="5">
        <v>2</v>
      </c>
      <c r="R3" s="5">
        <v>0.6</v>
      </c>
      <c r="S3" s="5">
        <f>Q3*0.6</f>
        <v>1.2</v>
      </c>
      <c r="T3" s="9">
        <f>S3+O3+H3</f>
        <v>13.5</v>
      </c>
      <c r="U3" s="10"/>
      <c r="V3" s="10"/>
      <c r="W3" s="11">
        <f>V3</f>
        <v>0</v>
      </c>
    </row>
    <row r="4" spans="1:23" ht="16.5">
      <c r="A4" s="25"/>
      <c r="B4" s="25"/>
      <c r="C4" s="11" t="s">
        <v>27</v>
      </c>
      <c r="D4" s="11">
        <v>3</v>
      </c>
      <c r="E4" s="11">
        <v>1</v>
      </c>
      <c r="F4" s="11">
        <v>3</v>
      </c>
      <c r="G4" s="11">
        <v>1</v>
      </c>
      <c r="H4" s="6">
        <f t="shared" ref="H4:H9" si="0">G4*F4</f>
        <v>3</v>
      </c>
      <c r="I4" s="12" t="s">
        <v>28</v>
      </c>
      <c r="J4" s="13">
        <v>3</v>
      </c>
      <c r="K4" s="4">
        <v>2</v>
      </c>
      <c r="L4" s="4">
        <v>3</v>
      </c>
      <c r="M4" s="4">
        <f>L4*K4*J4</f>
        <v>18</v>
      </c>
      <c r="N4" s="4">
        <v>0.3</v>
      </c>
      <c r="O4" s="4">
        <f>N4*M4</f>
        <v>5.4</v>
      </c>
      <c r="P4" s="11"/>
      <c r="Q4" s="11"/>
      <c r="R4" s="11"/>
      <c r="S4" s="5">
        <f t="shared" ref="S4:S9" si="1">Q4*0.6</f>
        <v>0</v>
      </c>
      <c r="T4" s="9">
        <f t="shared" ref="T4:T9" si="2">S4+O4+H4</f>
        <v>8.4</v>
      </c>
      <c r="U4" s="14"/>
      <c r="V4" s="10"/>
      <c r="W4" s="11">
        <f t="shared" ref="W4:W9" si="3">V4</f>
        <v>0</v>
      </c>
    </row>
    <row r="5" spans="1:23" ht="16.5">
      <c r="A5" s="25"/>
      <c r="B5" s="25"/>
      <c r="C5" s="10"/>
      <c r="D5" s="10"/>
      <c r="E5" s="10"/>
      <c r="F5" s="10"/>
      <c r="G5" s="10"/>
      <c r="H5" s="6">
        <f t="shared" si="0"/>
        <v>0</v>
      </c>
      <c r="I5" s="7" t="s">
        <v>29</v>
      </c>
      <c r="J5" s="8">
        <v>2</v>
      </c>
      <c r="K5" s="5">
        <v>2</v>
      </c>
      <c r="L5" s="5">
        <v>2</v>
      </c>
      <c r="M5" s="5">
        <v>8</v>
      </c>
      <c r="N5" s="5">
        <v>0.3</v>
      </c>
      <c r="O5" s="5">
        <v>2.4</v>
      </c>
      <c r="P5" s="10"/>
      <c r="Q5" s="10"/>
      <c r="R5" s="10"/>
      <c r="S5" s="5">
        <f t="shared" si="1"/>
        <v>0</v>
      </c>
      <c r="T5" s="9">
        <f t="shared" si="2"/>
        <v>2.4</v>
      </c>
      <c r="U5" s="10"/>
      <c r="V5" s="10"/>
      <c r="W5" s="11">
        <f t="shared" si="3"/>
        <v>0</v>
      </c>
    </row>
    <row r="6" spans="1:23" ht="16.5">
      <c r="A6" s="25"/>
      <c r="B6" s="25"/>
      <c r="C6" s="10"/>
      <c r="D6" s="10"/>
      <c r="E6" s="10"/>
      <c r="F6" s="10"/>
      <c r="G6" s="10"/>
      <c r="H6" s="6">
        <f t="shared" si="0"/>
        <v>0</v>
      </c>
      <c r="I6" s="7" t="s">
        <v>30</v>
      </c>
      <c r="J6" s="8">
        <v>4</v>
      </c>
      <c r="K6" s="5">
        <v>2</v>
      </c>
      <c r="L6" s="5">
        <v>1</v>
      </c>
      <c r="M6" s="5">
        <v>8</v>
      </c>
      <c r="N6" s="5">
        <v>0.3</v>
      </c>
      <c r="O6" s="5">
        <v>2.4</v>
      </c>
      <c r="P6" s="10"/>
      <c r="Q6" s="10"/>
      <c r="R6" s="10"/>
      <c r="S6" s="5">
        <f t="shared" si="1"/>
        <v>0</v>
      </c>
      <c r="T6" s="9">
        <f t="shared" si="2"/>
        <v>2.4</v>
      </c>
      <c r="U6" s="10"/>
      <c r="V6" s="10"/>
      <c r="W6" s="11">
        <f t="shared" si="3"/>
        <v>0</v>
      </c>
    </row>
    <row r="7" spans="1:23" ht="16.5">
      <c r="A7" s="25"/>
      <c r="B7" s="25"/>
      <c r="C7" s="15"/>
      <c r="D7" s="15"/>
      <c r="E7" s="15"/>
      <c r="F7" s="15"/>
      <c r="G7" s="15"/>
      <c r="H7" s="6">
        <f t="shared" si="0"/>
        <v>0</v>
      </c>
      <c r="I7" s="7" t="s">
        <v>31</v>
      </c>
      <c r="J7" s="8">
        <v>2</v>
      </c>
      <c r="K7" s="5">
        <v>2</v>
      </c>
      <c r="L7" s="5">
        <v>1</v>
      </c>
      <c r="M7" s="5">
        <v>4</v>
      </c>
      <c r="N7" s="5">
        <v>0.3</v>
      </c>
      <c r="O7" s="5">
        <v>1.2</v>
      </c>
      <c r="P7" s="15"/>
      <c r="Q7" s="15"/>
      <c r="R7" s="15"/>
      <c r="S7" s="5">
        <f t="shared" si="1"/>
        <v>0</v>
      </c>
      <c r="T7" s="9">
        <f t="shared" si="2"/>
        <v>1.2</v>
      </c>
      <c r="U7" s="15"/>
      <c r="V7" s="15"/>
      <c r="W7" s="11">
        <f t="shared" si="3"/>
        <v>0</v>
      </c>
    </row>
    <row r="8" spans="1:23" ht="16.5">
      <c r="A8" s="25"/>
      <c r="B8" s="25"/>
      <c r="C8" s="15"/>
      <c r="D8" s="15"/>
      <c r="E8" s="15"/>
      <c r="F8" s="15"/>
      <c r="G8" s="15"/>
      <c r="H8" s="6">
        <f t="shared" si="0"/>
        <v>0</v>
      </c>
      <c r="I8" s="7" t="s">
        <v>32</v>
      </c>
      <c r="J8" s="8">
        <v>4</v>
      </c>
      <c r="K8" s="5">
        <v>3</v>
      </c>
      <c r="L8" s="5">
        <v>1</v>
      </c>
      <c r="M8" s="5">
        <v>12</v>
      </c>
      <c r="N8" s="5">
        <v>0.3</v>
      </c>
      <c r="O8" s="5">
        <v>3.6</v>
      </c>
      <c r="P8" s="15"/>
      <c r="Q8" s="15"/>
      <c r="R8" s="15"/>
      <c r="S8" s="5">
        <f t="shared" si="1"/>
        <v>0</v>
      </c>
      <c r="T8" s="9">
        <f t="shared" si="2"/>
        <v>3.6</v>
      </c>
      <c r="U8" s="15"/>
      <c r="V8" s="15"/>
      <c r="W8" s="11">
        <f t="shared" si="3"/>
        <v>0</v>
      </c>
    </row>
    <row r="9" spans="1:23" ht="16.5">
      <c r="A9" s="26"/>
      <c r="B9" s="26"/>
      <c r="C9" s="15"/>
      <c r="D9" s="15"/>
      <c r="E9" s="15"/>
      <c r="F9" s="15"/>
      <c r="G9" s="15"/>
      <c r="H9" s="6">
        <f t="shared" si="0"/>
        <v>0</v>
      </c>
      <c r="I9" s="7" t="s">
        <v>33</v>
      </c>
      <c r="J9" s="8">
        <v>4</v>
      </c>
      <c r="K9" s="5">
        <v>2</v>
      </c>
      <c r="L9" s="5">
        <v>1</v>
      </c>
      <c r="M9" s="5">
        <v>8</v>
      </c>
      <c r="N9" s="5">
        <v>0.3</v>
      </c>
      <c r="O9" s="5">
        <v>2.4</v>
      </c>
      <c r="P9" s="15"/>
      <c r="Q9" s="15"/>
      <c r="R9" s="15"/>
      <c r="S9" s="5">
        <f t="shared" si="1"/>
        <v>0</v>
      </c>
      <c r="T9" s="9">
        <f t="shared" si="2"/>
        <v>2.4</v>
      </c>
      <c r="U9" s="15"/>
      <c r="V9" s="15"/>
      <c r="W9" s="11">
        <f t="shared" si="3"/>
        <v>0</v>
      </c>
    </row>
    <row r="10" spans="1:23">
      <c r="T10" s="16">
        <f>SUM(T3:T9)</f>
        <v>33.9</v>
      </c>
    </row>
    <row r="14" spans="1:23">
      <c r="A14" s="16" t="s">
        <v>34</v>
      </c>
    </row>
  </sheetData>
  <mergeCells count="10">
    <mergeCell ref="A3:A9"/>
    <mergeCell ref="B1:B2"/>
    <mergeCell ref="B3:B9"/>
    <mergeCell ref="T1:T2"/>
    <mergeCell ref="W1:W2"/>
    <mergeCell ref="C1:H1"/>
    <mergeCell ref="I1:O1"/>
    <mergeCell ref="P1:S1"/>
    <mergeCell ref="U1:V1"/>
    <mergeCell ref="A1:A2"/>
  </mergeCells>
  <phoneticPr fontId="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11111</dc:creator>
  <cp:lastModifiedBy>xbany</cp:lastModifiedBy>
  <dcterms:created xsi:type="dcterms:W3CDTF">2023-05-12T11:15:00Z</dcterms:created>
  <dcterms:modified xsi:type="dcterms:W3CDTF">2026-06-02T07:43:36Z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B02C8F7274804206AF96C7D435B5B9C7_13</vt:lpwstr>
  </property>
  <property fmtid="{D5CDD505-2E9C-101B-9397-08002B2CF9AE}" pid="4" name="CalculationRule">
    <vt:i4>0</vt:i4>
  </property>
</Properties>
</file>